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ersonal-budget-app\data\"/>
    </mc:Choice>
  </mc:AlternateContent>
  <xr:revisionPtr revIDLastSave="0" documentId="13_ncr:1_{DACFC1F5-9EB5-497B-AD97-4A8B94BA5C55}" xr6:coauthVersionLast="47" xr6:coauthVersionMax="47" xr10:uidLastSave="{00000000-0000-0000-0000-000000000000}"/>
  <bookViews>
    <workbookView xWindow="3435" yWindow="5700" windowWidth="28800" windowHeight="15195" xr2:uid="{05098052-E257-404A-BA0F-57183CEE4EA1}"/>
  </bookViews>
  <sheets>
    <sheet name="actuals" sheetId="1" r:id="rId1"/>
    <sheet name="funds" sheetId="2" r:id="rId2"/>
    <sheet name="fidelir" sheetId="3" r:id="rId3"/>
    <sheet name="Sheet2" sheetId="4" r:id="rId4"/>
    <sheet name="pivot table" sheetId="5" r:id="rId5"/>
    <sheet name="Sheet4" sheetId="6" r:id="rId6"/>
    <sheet name="Sheet5" sheetId="7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D9" i="1"/>
  <c r="B7" i="2"/>
  <c r="E8" i="1"/>
  <c r="B15" i="1"/>
  <c r="E21" i="1"/>
  <c r="B18" i="1"/>
  <c r="E4" i="1"/>
  <c r="B19" i="1"/>
  <c r="E2" i="1"/>
  <c r="E20" i="1"/>
  <c r="E14" i="1"/>
  <c r="E13" i="1"/>
  <c r="E5" i="1"/>
  <c r="E7" i="1"/>
  <c r="E3" i="1"/>
  <c r="B22" i="1"/>
  <c r="E10" i="1"/>
  <c r="B10" i="1" s="1"/>
  <c r="E27" i="1"/>
  <c r="C27" i="1"/>
  <c r="B17" i="1"/>
  <c r="B12" i="1" l="1"/>
  <c r="B16" i="1"/>
  <c r="B11" i="1"/>
  <c r="B6" i="1"/>
  <c r="E6" i="1" l="1"/>
  <c r="E24" i="1" s="1"/>
  <c r="B24" i="1"/>
</calcChain>
</file>

<file path=xl/sharedStrings.xml><?xml version="1.0" encoding="utf-8"?>
<sst xmlns="http://schemas.openxmlformats.org/spreadsheetml/2006/main" count="197" uniqueCount="84">
  <si>
    <t>mort</t>
  </si>
  <si>
    <t>pool</t>
  </si>
  <si>
    <t>food</t>
  </si>
  <si>
    <t>gas</t>
  </si>
  <si>
    <t>maint</t>
  </si>
  <si>
    <t>mo.</t>
  </si>
  <si>
    <t>daily</t>
  </si>
  <si>
    <t>yr.</t>
  </si>
  <si>
    <t>elias</t>
  </si>
  <si>
    <t>SUM</t>
  </si>
  <si>
    <t>phone</t>
  </si>
  <si>
    <t>internet</t>
  </si>
  <si>
    <t>health</t>
  </si>
  <si>
    <t>streaming</t>
  </si>
  <si>
    <t>Fidelity fees</t>
  </si>
  <si>
    <t>https://www.cleanenergyfcuonline.org/dbank/live/app/home#</t>
  </si>
  <si>
    <t>elias - chase</t>
  </si>
  <si>
    <t>Pest visit QTR</t>
  </si>
  <si>
    <t>QTR</t>
  </si>
  <si>
    <t>FDRXX</t>
  </si>
  <si>
    <t>MARCUS INVEST</t>
  </si>
  <si>
    <t>amazon</t>
  </si>
  <si>
    <t>climate first</t>
  </si>
  <si>
    <t>fidelity</t>
  </si>
  <si>
    <t>marcus</t>
  </si>
  <si>
    <t>-200 since aug</t>
  </si>
  <si>
    <t>etrade https://us.etrade.com/etx/hw/v2/accountshome</t>
  </si>
  <si>
    <t>marcus CDs</t>
  </si>
  <si>
    <t>https://www.marcus.com/us/en/dashboard</t>
  </si>
  <si>
    <t>Dog tracker</t>
  </si>
  <si>
    <t>Climate First solar loan</t>
  </si>
  <si>
    <t>penny vet vsists</t>
  </si>
  <si>
    <t>penny meds</t>
  </si>
  <si>
    <t>elias phone</t>
  </si>
  <si>
    <t>teeth</t>
  </si>
  <si>
    <t>water</t>
  </si>
  <si>
    <t>car insurance</t>
  </si>
  <si>
    <t>car payments</t>
  </si>
  <si>
    <t>matures 1/1/25</t>
  </si>
  <si>
    <t>matures 2/3/25</t>
  </si>
  <si>
    <t>sw</t>
  </si>
  <si>
    <t>MSFT stock investment</t>
  </si>
  <si>
    <t>balance due 1-2026 11,103</t>
  </si>
  <si>
    <t>balance due 1-2026 $267,182</t>
  </si>
  <si>
    <t>IMPORTANT DETAIL</t>
  </si>
  <si>
    <t>In order to insert a suggestion that uses a PivotTable or formula, your data was organized in columns with a single header row.</t>
  </si>
  <si>
    <t>Field1</t>
  </si>
  <si>
    <t>Sum of mo.</t>
  </si>
  <si>
    <t>Sum of yr.</t>
  </si>
  <si>
    <t>Grand Total</t>
  </si>
  <si>
    <t>FIXED</t>
  </si>
  <si>
    <t>ESTIMATED</t>
  </si>
  <si>
    <t>mortgage</t>
  </si>
  <si>
    <t>Pest service visit QTR</t>
  </si>
  <si>
    <t>Elias</t>
  </si>
  <si>
    <t>Amazon Prime</t>
  </si>
  <si>
    <t>penny vet visits</t>
  </si>
  <si>
    <t>Elias phone</t>
  </si>
  <si>
    <t>maintenance-home</t>
  </si>
  <si>
    <t>Category</t>
  </si>
  <si>
    <t>VENDOR</t>
  </si>
  <si>
    <t>ARROW EXTERMINATORS 07/10</t>
  </si>
  <si>
    <t xml:space="preserve">Mike Swal, </t>
  </si>
  <si>
    <t>GAINESVILLE REGIONAL UTILITIES</t>
  </si>
  <si>
    <t>water/electric</t>
  </si>
  <si>
    <t>Swim State Pool Service</t>
  </si>
  <si>
    <t>GEICO</t>
  </si>
  <si>
    <t>BOOST MOBILE</t>
  </si>
  <si>
    <t>COX COMMUNICATIONS,APPLE.COM</t>
  </si>
  <si>
    <t>PETDATA  INC.,SUBURBAN ANIMAL HO</t>
  </si>
  <si>
    <t>CHASE CREDIT CARD CATEGORY</t>
  </si>
  <si>
    <t>Home</t>
  </si>
  <si>
    <t>Bills &amp; Utilities</t>
  </si>
  <si>
    <t>Groceries,Food &amp; Drink,</t>
  </si>
  <si>
    <t>Gas</t>
  </si>
  <si>
    <t>Personal</t>
  </si>
  <si>
    <t>JPMORGAN CHASE   CHASE ACH</t>
  </si>
  <si>
    <t>CLIMATE FIRST BA TRANSFER</t>
  </si>
  <si>
    <t>NORTHWEST SEAFOOD MILH GAINESVILLE FL, PUBLIX,Fresh market, Uppercrust,</t>
  </si>
  <si>
    <t>Netflix.com,HBO,QOBUZ,Amazon Prime Membership</t>
  </si>
  <si>
    <t>FLORIDA CREDIT UNION LOAN</t>
  </si>
  <si>
    <t>Dental</t>
  </si>
  <si>
    <t>Wise Inc         WISE,WEIMARK APT RENTAL APP,Yak Management,</t>
  </si>
  <si>
    <t>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</si>
</sst>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sz val="12"/>
      <color rgb="FF4472C4"/>
      <name val="Calibri"/>
      <family val="2"/>
      <scheme val="minor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44" fontId="0" fillId="0" borderId="0" xfId="1" applyFont="1" applyAlignment="1">
      <alignment horizontal="left" vertical="top"/>
    </xf>
    <xf numFmtId="0" fontId="0" fillId="0" borderId="0" xfId="0" applyAlignment="1">
      <alignment horizontal="left" vertical="top"/>
    </xf>
    <xf numFmtId="10" fontId="0" fillId="0" borderId="0" xfId="1" applyNumberFormat="1" applyFont="1"/>
    <xf numFmtId="6" fontId="0" fillId="0" borderId="0" xfId="1" applyNumberFormat="1" applyFont="1"/>
    <xf numFmtId="0" fontId="3" fillId="0" borderId="0" xfId="0" applyFont="1"/>
    <xf numFmtId="8" fontId="4" fillId="0" borderId="0" xfId="0" applyNumberFormat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44" fontId="0" fillId="0" borderId="0" xfId="0" applyNumberFormat="1"/>
    <xf numFmtId="0" fontId="0" fillId="0" borderId="0" xfId="0" pivotButton="1"/>
    <xf numFmtId="0" fontId="2" fillId="0" borderId="0" xfId="0" applyNumberFormat="1" applyFont="1"/>
    <xf numFmtId="0" fontId="0" fillId="0" borderId="0" xfId="0" applyNumberFormat="1"/>
    <xf numFmtId="0" fontId="0" fillId="0" borderId="0" xfId="1" applyNumberFormat="1" applyFont="1" applyAlignment="1">
      <alignment vertical="top"/>
    </xf>
    <xf numFmtId="0" fontId="2" fillId="0" borderId="0" xfId="1" applyNumberFormat="1" applyFont="1"/>
    <xf numFmtId="0" fontId="0" fillId="0" borderId="0" xfId="1" applyNumberFormat="1" applyFont="1"/>
    <xf numFmtId="0" fontId="0" fillId="0" borderId="0" xfId="1" applyNumberFormat="1" applyFon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'mo.', 'daily' by 'Field1'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actuals!$B$1</c:f>
              <c:strCache>
                <c:ptCount val="1"/>
                <c:pt idx="0">
                  <c:v> mo.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actuals!$A$2:$A$22</c:f>
              <c:strCache>
                <c:ptCount val="21"/>
                <c:pt idx="0">
                  <c:v>mortgage</c:v>
                </c:pt>
                <c:pt idx="1">
                  <c:v>water/electric</c:v>
                </c:pt>
                <c:pt idx="2">
                  <c:v>Climate First solar loan</c:v>
                </c:pt>
                <c:pt idx="3">
                  <c:v>pool</c:v>
                </c:pt>
                <c:pt idx="4">
                  <c:v>food</c:v>
                </c:pt>
                <c:pt idx="5">
                  <c:v>gas</c:v>
                </c:pt>
                <c:pt idx="6">
                  <c:v>car payments</c:v>
                </c:pt>
                <c:pt idx="7">
                  <c:v>car insurance</c:v>
                </c:pt>
                <c:pt idx="8">
                  <c:v>Pest service visit QTR</c:v>
                </c:pt>
                <c:pt idx="9">
                  <c:v>maintenance-home</c:v>
                </c:pt>
                <c:pt idx="10">
                  <c:v>Elias</c:v>
                </c:pt>
                <c:pt idx="11">
                  <c:v>phone</c:v>
                </c:pt>
                <c:pt idx="12">
                  <c:v>internet</c:v>
                </c:pt>
                <c:pt idx="13">
                  <c:v>Dental</c:v>
                </c:pt>
                <c:pt idx="14">
                  <c:v>health</c:v>
                </c:pt>
                <c:pt idx="15">
                  <c:v>penny vet visits</c:v>
                </c:pt>
                <c:pt idx="16">
                  <c:v>penny meds</c:v>
                </c:pt>
                <c:pt idx="17">
                  <c:v>Dog tracker</c:v>
                </c:pt>
                <c:pt idx="18">
                  <c:v>streaming</c:v>
                </c:pt>
                <c:pt idx="19">
                  <c:v>Elias phone</c:v>
                </c:pt>
                <c:pt idx="20">
                  <c:v>Amazon Prime</c:v>
                </c:pt>
              </c:strCache>
            </c:strRef>
          </c:cat>
          <c:val>
            <c:numRef>
              <c:f>actuals!$B$2:$B$22</c:f>
              <c:numCache>
                <c:formatCode>_("$"* #,##0.00_);_("$"* \(#,##0.00\);_("$"* "-"??_);_(@_)</c:formatCode>
                <c:ptCount val="21"/>
                <c:pt idx="0">
                  <c:v>2200</c:v>
                </c:pt>
                <c:pt idx="1">
                  <c:v>60</c:v>
                </c:pt>
                <c:pt idx="2">
                  <c:v>113</c:v>
                </c:pt>
                <c:pt idx="3">
                  <c:v>165</c:v>
                </c:pt>
                <c:pt idx="4">
                  <c:v>1500</c:v>
                </c:pt>
                <c:pt idx="5">
                  <c:v>50</c:v>
                </c:pt>
                <c:pt idx="6">
                  <c:v>650</c:v>
                </c:pt>
                <c:pt idx="7">
                  <c:v>60.833333333333336</c:v>
                </c:pt>
                <c:pt idx="8">
                  <c:v>35</c:v>
                </c:pt>
                <c:pt idx="9">
                  <c:v>500</c:v>
                </c:pt>
                <c:pt idx="10">
                  <c:v>833.33333333333337</c:v>
                </c:pt>
                <c:pt idx="11">
                  <c:v>50</c:v>
                </c:pt>
                <c:pt idx="12">
                  <c:v>70</c:v>
                </c:pt>
                <c:pt idx="13">
                  <c:v>2083.3333333333335</c:v>
                </c:pt>
                <c:pt idx="14">
                  <c:v>250</c:v>
                </c:pt>
                <c:pt idx="15">
                  <c:v>41.666666666666664</c:v>
                </c:pt>
                <c:pt idx="16">
                  <c:v>38.333333333333336</c:v>
                </c:pt>
                <c:pt idx="17">
                  <c:v>11.75</c:v>
                </c:pt>
                <c:pt idx="18">
                  <c:v>75</c:v>
                </c:pt>
                <c:pt idx="19">
                  <c:v>25</c:v>
                </c:pt>
                <c:pt idx="20">
                  <c:v>13.75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A-CD42-9F3B-10BDCFA73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1420676688"/>
        <c:axId val="1420615024"/>
      </c:barChart>
      <c:lineChart>
        <c:grouping val="standard"/>
        <c:varyColors val="0"/>
        <c:ser>
          <c:idx val="1"/>
          <c:order val="1"/>
          <c:tx>
            <c:strRef>
              <c:f>actuals!$C$1</c:f>
              <c:strCache>
                <c:ptCount val="1"/>
                <c:pt idx="0">
                  <c:v> daily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actuals!$A$2:$A$22</c:f>
              <c:strCache>
                <c:ptCount val="21"/>
                <c:pt idx="0">
                  <c:v>mortgage</c:v>
                </c:pt>
                <c:pt idx="1">
                  <c:v>water/electric</c:v>
                </c:pt>
                <c:pt idx="2">
                  <c:v>Climate First solar loan</c:v>
                </c:pt>
                <c:pt idx="3">
                  <c:v>pool</c:v>
                </c:pt>
                <c:pt idx="4">
                  <c:v>food</c:v>
                </c:pt>
                <c:pt idx="5">
                  <c:v>gas</c:v>
                </c:pt>
                <c:pt idx="6">
                  <c:v>car payments</c:v>
                </c:pt>
                <c:pt idx="7">
                  <c:v>car insurance</c:v>
                </c:pt>
                <c:pt idx="8">
                  <c:v>Pest service visit QTR</c:v>
                </c:pt>
                <c:pt idx="9">
                  <c:v>maintenance-home</c:v>
                </c:pt>
                <c:pt idx="10">
                  <c:v>Elias</c:v>
                </c:pt>
                <c:pt idx="11">
                  <c:v>phone</c:v>
                </c:pt>
                <c:pt idx="12">
                  <c:v>internet</c:v>
                </c:pt>
                <c:pt idx="13">
                  <c:v>Dental</c:v>
                </c:pt>
                <c:pt idx="14">
                  <c:v>health</c:v>
                </c:pt>
                <c:pt idx="15">
                  <c:v>penny vet visits</c:v>
                </c:pt>
                <c:pt idx="16">
                  <c:v>penny meds</c:v>
                </c:pt>
                <c:pt idx="17">
                  <c:v>Dog tracker</c:v>
                </c:pt>
                <c:pt idx="18">
                  <c:v>streaming</c:v>
                </c:pt>
                <c:pt idx="19">
                  <c:v>Elias phone</c:v>
                </c:pt>
                <c:pt idx="20">
                  <c:v>Amazon Prime</c:v>
                </c:pt>
              </c:strCache>
            </c:strRef>
          </c:cat>
          <c:val>
            <c:numRef>
              <c:f>actuals!$C$2:$C$22</c:f>
              <c:numCache>
                <c:formatCode>_("$"* #,##0.00_);_("$"* \(#,##0.00\);_("$"* "-"??_);_(@_)</c:formatCode>
                <c:ptCount val="21"/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3A-CD42-9F3B-10BDCFA73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682896"/>
        <c:axId val="1420680304"/>
      </c:lineChart>
      <c:catAx>
        <c:axId val="142067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615024"/>
        <c:crosses val="autoZero"/>
        <c:auto val="1"/>
        <c:lblAlgn val="ctr"/>
        <c:lblOffset val="100"/>
        <c:noMultiLvlLbl val="0"/>
      </c:catAx>
      <c:valAx>
        <c:axId val="14206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676688"/>
        <c:crosses val="autoZero"/>
        <c:crossBetween val="between"/>
      </c:valAx>
      <c:valAx>
        <c:axId val="14206803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682896"/>
        <c:crosses val="max"/>
        <c:crossBetween val="between"/>
      </c:valAx>
      <c:catAx>
        <c:axId val="1420682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0680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[blyon budget.xlsx]Sheet5!PivotTable2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'Field1': </a:t>
            </a:r>
            <a:r>
              <a:rPr lang="en-US">
                <a:solidFill>
                  <a:srgbClr val="DD5A13"/>
                </a:solidFill>
              </a:rPr>
              <a:t>mort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teeth</a:t>
            </a:r>
            <a:r>
              <a:rPr lang="en-US"/>
              <a:t> have noticeably higher 'yr.'.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4D9-6540-9C85-F3AF8D111CB6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D9-6540-9C85-F3AF8D111CB6}"/>
              </c:ext>
            </c:extLst>
          </c:dPt>
          <c:cat>
            <c:strRef>
              <c:f>Sheet5!$A$3:$A$24</c:f>
              <c:strCache>
                <c:ptCount val="21"/>
                <c:pt idx="0">
                  <c:v>mort</c:v>
                </c:pt>
                <c:pt idx="1">
                  <c:v>teeth</c:v>
                </c:pt>
                <c:pt idx="2">
                  <c:v>food</c:v>
                </c:pt>
                <c:pt idx="3">
                  <c:v>elias</c:v>
                </c:pt>
                <c:pt idx="4">
                  <c:v>car payments</c:v>
                </c:pt>
                <c:pt idx="5">
                  <c:v>maint</c:v>
                </c:pt>
                <c:pt idx="6">
                  <c:v>health</c:v>
                </c:pt>
                <c:pt idx="7">
                  <c:v>pool</c:v>
                </c:pt>
                <c:pt idx="8">
                  <c:v>Climate First solar loan</c:v>
                </c:pt>
                <c:pt idx="9">
                  <c:v>streaming</c:v>
                </c:pt>
                <c:pt idx="10">
                  <c:v>internet</c:v>
                </c:pt>
                <c:pt idx="11">
                  <c:v>phone</c:v>
                </c:pt>
                <c:pt idx="12">
                  <c:v>car insurance</c:v>
                </c:pt>
                <c:pt idx="13">
                  <c:v>water</c:v>
                </c:pt>
                <c:pt idx="14">
                  <c:v>gas</c:v>
                </c:pt>
                <c:pt idx="15">
                  <c:v>penny vet vsists</c:v>
                </c:pt>
                <c:pt idx="16">
                  <c:v>penny meds</c:v>
                </c:pt>
                <c:pt idx="17">
                  <c:v>Pest visit QTR</c:v>
                </c:pt>
                <c:pt idx="18">
                  <c:v>elias phone</c:v>
                </c:pt>
                <c:pt idx="19">
                  <c:v>amazon</c:v>
                </c:pt>
                <c:pt idx="20">
                  <c:v>Dog tracker</c:v>
                </c:pt>
              </c:strCache>
            </c:strRef>
          </c:cat>
          <c:val>
            <c:numRef>
              <c:f>Sheet5!$B$3:$B$24</c:f>
              <c:numCache>
                <c:formatCode>_("$"* #,##0.00_);_("$"* \(#,##0.00\);_("$"* "-"??_);_(@_)</c:formatCode>
                <c:ptCount val="21"/>
                <c:pt idx="0">
                  <c:v>26400</c:v>
                </c:pt>
                <c:pt idx="1">
                  <c:v>25000</c:v>
                </c:pt>
                <c:pt idx="2">
                  <c:v>18000</c:v>
                </c:pt>
                <c:pt idx="3">
                  <c:v>10000</c:v>
                </c:pt>
                <c:pt idx="4">
                  <c:v>7800</c:v>
                </c:pt>
                <c:pt idx="5">
                  <c:v>6000</c:v>
                </c:pt>
                <c:pt idx="6">
                  <c:v>3000</c:v>
                </c:pt>
                <c:pt idx="7">
                  <c:v>1980</c:v>
                </c:pt>
                <c:pt idx="8">
                  <c:v>1356</c:v>
                </c:pt>
                <c:pt idx="9">
                  <c:v>900</c:v>
                </c:pt>
                <c:pt idx="10">
                  <c:v>840</c:v>
                </c:pt>
                <c:pt idx="11">
                  <c:v>792</c:v>
                </c:pt>
                <c:pt idx="12">
                  <c:v>730</c:v>
                </c:pt>
                <c:pt idx="13">
                  <c:v>720</c:v>
                </c:pt>
                <c:pt idx="14">
                  <c:v>600</c:v>
                </c:pt>
                <c:pt idx="15">
                  <c:v>500</c:v>
                </c:pt>
                <c:pt idx="16">
                  <c:v>460</c:v>
                </c:pt>
                <c:pt idx="17">
                  <c:v>420</c:v>
                </c:pt>
                <c:pt idx="18">
                  <c:v>300</c:v>
                </c:pt>
                <c:pt idx="19">
                  <c:v>165</c:v>
                </c:pt>
                <c:pt idx="20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9-6540-9C85-F3AF8D111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854164400"/>
        <c:axId val="1854569152"/>
      </c:barChart>
      <c:catAx>
        <c:axId val="185416440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569152"/>
        <c:crosses val="autoZero"/>
        <c:auto val="1"/>
        <c:lblAlgn val="ctr"/>
        <c:lblOffset val="100"/>
        <c:noMultiLvlLbl val="0"/>
      </c:catAx>
      <c:valAx>
        <c:axId val="185456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yr.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164400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12700</xdr:colOff>
      <xdr:row>22</xdr:row>
      <xdr:rowOff>82550</xdr:rowOff>
    </xdr:from>
    <xdr:to>
      <xdr:col>21</xdr:col>
      <xdr:colOff>469900</xdr:colOff>
      <xdr:row>35</xdr:row>
      <xdr:rowOff>180975</xdr:rowOff>
    </xdr:to>
    <xdr:graphicFrame macro="">
      <xdr:nvGraphicFramePr>
        <xdr:cNvPr id="2" name="Chart 1" descr="Chart type: Clustered Column, Line. 'mo.', 'daily' by 'Field1'&#10;&#10;Description automatically generated">
          <a:extLst>
            <a:ext uri="{FF2B5EF4-FFF2-40B4-BE49-F238E27FC236}">
              <a16:creationId xmlns:a16="http://schemas.microsoft.com/office/drawing/2014/main" id="{5AA35D71-AD15-CEEB-0302-8CA49840D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444500</xdr:colOff>
      <xdr:row>14</xdr:row>
      <xdr:rowOff>101600</xdr:rowOff>
    </xdr:to>
    <xdr:graphicFrame macro="">
      <xdr:nvGraphicFramePr>
        <xdr:cNvPr id="2" name="Chart 1" descr="Chart type: Stacked Bar. 'Field1': mort and teeth have noticeably higher 'yr.'.&#10;&#10;Description automatically generated">
          <a:extLst>
            <a:ext uri="{FF2B5EF4-FFF2-40B4-BE49-F238E27FC236}">
              <a16:creationId xmlns:a16="http://schemas.microsoft.com/office/drawing/2014/main" id="{57CF23C6-01DA-B6E2-DDF3-89B304857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l Lyon" refreshedDate="46053.459347222219" createdVersion="8" refreshedVersion="8" minRefreshableVersion="3" recordCount="21" xr:uid="{C17F085C-615B-2942-962B-DA1C744BE2D4}">
  <cacheSource type="worksheet">
    <worksheetSource ref="C6:G27" sheet="Sheet2"/>
  </cacheSource>
  <cacheFields count="5">
    <cacheField name="Field1" numFmtId="0">
      <sharedItems count="21">
        <s v="mort"/>
        <s v="water"/>
        <s v="Climate First solar loan"/>
        <s v="pool"/>
        <s v="food"/>
        <s v="gas"/>
        <s v="car payments"/>
        <s v="car insurance"/>
        <s v="Pest visit QTR"/>
        <s v="maint"/>
        <s v="elias"/>
        <s v="phone"/>
        <s v="internet"/>
        <s v="teeth"/>
        <s v="health"/>
        <s v="penny vet vsists"/>
        <s v="penny meds"/>
        <s v="Dog tracker"/>
        <s v="streaming"/>
        <s v="elias phone"/>
        <s v="amazon"/>
      </sharedItems>
    </cacheField>
    <cacheField name="mo." numFmtId="44">
      <sharedItems containsSemiMixedTypes="0" containsString="0" containsNumber="1" minValue="11.75" maxValue="2200"/>
    </cacheField>
    <cacheField name="daily" numFmtId="44">
      <sharedItems containsString="0" containsBlank="1" containsNumber="1" containsInteger="1" minValue="50" maxValue="50"/>
    </cacheField>
    <cacheField name="QTR" numFmtId="44">
      <sharedItems containsString="0" containsBlank="1" containsNumber="1" minValue="105" maxValue="182.5"/>
    </cacheField>
    <cacheField name="yr." numFmtId="44">
      <sharedItems containsSemiMixedTypes="0" containsString="0" containsNumber="1" containsInteger="1" minValue="141" maxValue="26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l Lyon" refreshedDate="46053.460616550925" createdVersion="8" refreshedVersion="8" minRefreshableVersion="3" recordCount="21" xr:uid="{6E8EC8F7-45FD-F74D-9506-8D768B9E5BAD}">
  <cacheSource type="worksheet">
    <worksheetSource ref="C6:G27" sheet="Sheet4"/>
  </cacheSource>
  <cacheFields count="5">
    <cacheField name="Field1" numFmtId="0">
      <sharedItems count="21">
        <s v="mort"/>
        <s v="water"/>
        <s v="Climate First solar loan"/>
        <s v="pool"/>
        <s v="food"/>
        <s v="gas"/>
        <s v="car payments"/>
        <s v="car insurance"/>
        <s v="Pest visit QTR"/>
        <s v="maint"/>
        <s v="elias"/>
        <s v="phone"/>
        <s v="internet"/>
        <s v="teeth"/>
        <s v="health"/>
        <s v="penny vet vsists"/>
        <s v="penny meds"/>
        <s v="Dog tracker"/>
        <s v="streaming"/>
        <s v="elias phone"/>
        <s v="amazon"/>
      </sharedItems>
    </cacheField>
    <cacheField name="mo." numFmtId="44">
      <sharedItems containsSemiMixedTypes="0" containsString="0" containsNumber="1" minValue="11.75" maxValue="2200"/>
    </cacheField>
    <cacheField name="daily" numFmtId="44">
      <sharedItems containsString="0" containsBlank="1" containsNumber="1" containsInteger="1" minValue="50" maxValue="50"/>
    </cacheField>
    <cacheField name="QTR" numFmtId="44">
      <sharedItems containsString="0" containsBlank="1" containsNumber="1" minValue="105" maxValue="182.5"/>
    </cacheField>
    <cacheField name="yr." numFmtId="44">
      <sharedItems containsSemiMixedTypes="0" containsString="0" containsNumber="1" containsInteger="1" minValue="141" maxValue="26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2200"/>
    <m/>
    <m/>
    <n v="26400"/>
  </r>
  <r>
    <x v="1"/>
    <n v="60"/>
    <m/>
    <m/>
    <n v="720"/>
  </r>
  <r>
    <x v="2"/>
    <n v="113"/>
    <m/>
    <m/>
    <n v="1356"/>
  </r>
  <r>
    <x v="3"/>
    <n v="165"/>
    <m/>
    <m/>
    <n v="1980"/>
  </r>
  <r>
    <x v="4"/>
    <n v="1500"/>
    <n v="50"/>
    <m/>
    <n v="18000"/>
  </r>
  <r>
    <x v="5"/>
    <n v="50"/>
    <m/>
    <m/>
    <n v="600"/>
  </r>
  <r>
    <x v="6"/>
    <n v="650"/>
    <m/>
    <m/>
    <n v="7800"/>
  </r>
  <r>
    <x v="7"/>
    <n v="730"/>
    <m/>
    <n v="182.5"/>
    <n v="730"/>
  </r>
  <r>
    <x v="8"/>
    <n v="35"/>
    <m/>
    <n v="105"/>
    <n v="420"/>
  </r>
  <r>
    <x v="9"/>
    <n v="500"/>
    <m/>
    <m/>
    <n v="6000"/>
  </r>
  <r>
    <x v="10"/>
    <n v="833.33333333333303"/>
    <m/>
    <m/>
    <n v="10000"/>
  </r>
  <r>
    <x v="11"/>
    <n v="66"/>
    <m/>
    <m/>
    <n v="792"/>
  </r>
  <r>
    <x v="12"/>
    <n v="70"/>
    <m/>
    <m/>
    <n v="840"/>
  </r>
  <r>
    <x v="13"/>
    <n v="2083.3333333333298"/>
    <m/>
    <m/>
    <n v="25000"/>
  </r>
  <r>
    <x v="14"/>
    <n v="250"/>
    <m/>
    <m/>
    <n v="3000"/>
  </r>
  <r>
    <x v="15"/>
    <n v="41.6666666666667"/>
    <m/>
    <m/>
    <n v="500"/>
  </r>
  <r>
    <x v="16"/>
    <n v="38.3333333333333"/>
    <m/>
    <m/>
    <n v="460"/>
  </r>
  <r>
    <x v="17"/>
    <n v="11.75"/>
    <m/>
    <m/>
    <n v="141"/>
  </r>
  <r>
    <x v="18"/>
    <n v="50"/>
    <m/>
    <m/>
    <n v="600"/>
  </r>
  <r>
    <x v="19"/>
    <n v="25"/>
    <m/>
    <m/>
    <n v="300"/>
  </r>
  <r>
    <x v="20"/>
    <n v="13.75"/>
    <m/>
    <m/>
    <n v="1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2200"/>
    <m/>
    <m/>
    <n v="26400"/>
  </r>
  <r>
    <x v="1"/>
    <n v="60"/>
    <m/>
    <m/>
    <n v="720"/>
  </r>
  <r>
    <x v="2"/>
    <n v="113"/>
    <m/>
    <m/>
    <n v="1356"/>
  </r>
  <r>
    <x v="3"/>
    <n v="165"/>
    <m/>
    <m/>
    <n v="1980"/>
  </r>
  <r>
    <x v="4"/>
    <n v="1500"/>
    <n v="50"/>
    <m/>
    <n v="18000"/>
  </r>
  <r>
    <x v="5"/>
    <n v="50"/>
    <m/>
    <m/>
    <n v="600"/>
  </r>
  <r>
    <x v="6"/>
    <n v="650"/>
    <m/>
    <m/>
    <n v="7800"/>
  </r>
  <r>
    <x v="7"/>
    <n v="730"/>
    <m/>
    <n v="182.5"/>
    <n v="730"/>
  </r>
  <r>
    <x v="8"/>
    <n v="35"/>
    <m/>
    <n v="105"/>
    <n v="420"/>
  </r>
  <r>
    <x v="9"/>
    <n v="500"/>
    <m/>
    <m/>
    <n v="6000"/>
  </r>
  <r>
    <x v="10"/>
    <n v="833.33333333333303"/>
    <m/>
    <m/>
    <n v="10000"/>
  </r>
  <r>
    <x v="11"/>
    <n v="66"/>
    <m/>
    <m/>
    <n v="792"/>
  </r>
  <r>
    <x v="12"/>
    <n v="70"/>
    <m/>
    <m/>
    <n v="840"/>
  </r>
  <r>
    <x v="13"/>
    <n v="2083.3333333333298"/>
    <m/>
    <m/>
    <n v="25000"/>
  </r>
  <r>
    <x v="14"/>
    <n v="250"/>
    <m/>
    <m/>
    <n v="3000"/>
  </r>
  <r>
    <x v="15"/>
    <n v="41.6666666666667"/>
    <m/>
    <m/>
    <n v="500"/>
  </r>
  <r>
    <x v="16"/>
    <n v="38.3333333333333"/>
    <m/>
    <m/>
    <n v="460"/>
  </r>
  <r>
    <x v="17"/>
    <n v="11.75"/>
    <m/>
    <m/>
    <n v="141"/>
  </r>
  <r>
    <x v="18"/>
    <n v="75"/>
    <m/>
    <m/>
    <n v="900"/>
  </r>
  <r>
    <x v="19"/>
    <n v="25"/>
    <m/>
    <m/>
    <n v="300"/>
  </r>
  <r>
    <x v="20"/>
    <n v="13.75"/>
    <m/>
    <m/>
    <n v="1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1C175-7E49-E944-A2A2-732280E27A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24" firstHeaderRow="0" firstDataRow="1" firstDataCol="1"/>
  <pivotFields count="5">
    <pivotField axis="axisRow" compact="0" outline="0" showAll="0" sortType="descending">
      <items count="22">
        <item x="20"/>
        <item x="7"/>
        <item x="6"/>
        <item x="2"/>
        <item x="17"/>
        <item x="10"/>
        <item x="19"/>
        <item x="4"/>
        <item x="5"/>
        <item x="14"/>
        <item x="12"/>
        <item x="9"/>
        <item x="0"/>
        <item x="16"/>
        <item x="15"/>
        <item x="8"/>
        <item x="11"/>
        <item x="3"/>
        <item x="18"/>
        <item x="1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44" outline="0" showAll="0"/>
    <pivotField compact="0" outline="0" showAll="0"/>
    <pivotField compact="0" outline="0" showAll="0"/>
    <pivotField dataField="1" compact="0" numFmtId="44" outline="0" showAll="0"/>
  </pivotFields>
  <rowFields count="1">
    <field x="0"/>
  </rowFields>
  <rowItems count="22">
    <i>
      <x v="12"/>
    </i>
    <i>
      <x v="19"/>
    </i>
    <i>
      <x v="7"/>
    </i>
    <i>
      <x v="5"/>
    </i>
    <i>
      <x v="1"/>
    </i>
    <i>
      <x v="2"/>
    </i>
    <i>
      <x v="11"/>
    </i>
    <i>
      <x v="9"/>
    </i>
    <i>
      <x v="17"/>
    </i>
    <i>
      <x v="3"/>
    </i>
    <i>
      <x v="10"/>
    </i>
    <i>
      <x v="16"/>
    </i>
    <i>
      <x v="20"/>
    </i>
    <i>
      <x v="18"/>
    </i>
    <i>
      <x v="8"/>
    </i>
    <i>
      <x v="14"/>
    </i>
    <i>
      <x v="13"/>
    </i>
    <i>
      <x v="15"/>
    </i>
    <i>
      <x v="6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." fld="1" baseField="0" baseItem="0" numFmtId="44"/>
    <dataField name="Sum of yr.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B4F70-91CD-0A4A-8698-2768CB4F6C3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4" firstHeaderRow="1" firstDataRow="1" firstDataCol="1"/>
  <pivotFields count="5">
    <pivotField axis="axisRow" compact="0" outline="0" showAll="0" sortType="descending">
      <items count="22">
        <item x="20"/>
        <item x="7"/>
        <item x="6"/>
        <item x="2"/>
        <item x="17"/>
        <item x="10"/>
        <item x="19"/>
        <item x="4"/>
        <item x="5"/>
        <item x="14"/>
        <item x="12"/>
        <item x="9"/>
        <item x="0"/>
        <item x="16"/>
        <item x="15"/>
        <item x="8"/>
        <item x="11"/>
        <item x="3"/>
        <item x="18"/>
        <item x="1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4" outline="0" showAll="0"/>
    <pivotField compact="0" outline="0" showAll="0"/>
    <pivotField compact="0" outline="0" showAll="0"/>
    <pivotField dataField="1" compact="0" numFmtId="44" outline="0" showAll="0"/>
  </pivotFields>
  <rowFields count="1">
    <field x="0"/>
  </rowFields>
  <rowItems count="22">
    <i>
      <x v="12"/>
    </i>
    <i>
      <x v="19"/>
    </i>
    <i>
      <x v="7"/>
    </i>
    <i>
      <x v="5"/>
    </i>
    <i>
      <x v="2"/>
    </i>
    <i>
      <x v="11"/>
    </i>
    <i>
      <x v="9"/>
    </i>
    <i>
      <x v="17"/>
    </i>
    <i>
      <x v="3"/>
    </i>
    <i>
      <x v="18"/>
    </i>
    <i>
      <x v="10"/>
    </i>
    <i>
      <x v="16"/>
    </i>
    <i>
      <x v="1"/>
    </i>
    <i>
      <x v="20"/>
    </i>
    <i>
      <x v="8"/>
    </i>
    <i>
      <x v="14"/>
    </i>
    <i>
      <x v="13"/>
    </i>
    <i>
      <x v="15"/>
    </i>
    <i>
      <x v="6"/>
    </i>
    <i>
      <x/>
    </i>
    <i>
      <x v="4"/>
    </i>
    <i t="grand">
      <x/>
    </i>
  </rowItems>
  <colItems count="1">
    <i/>
  </colItems>
  <dataFields count="1">
    <dataField name="Sum of yr." fld="4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4D42-A368-B745-863C-CA0B20AC8FE3}">
  <dimension ref="A1:I31"/>
  <sheetViews>
    <sheetView tabSelected="1" workbookViewId="0">
      <selection activeCell="G1" sqref="G1:H1048576"/>
    </sheetView>
  </sheetViews>
  <sheetFormatPr defaultColWidth="11" defaultRowHeight="15.75" x14ac:dyDescent="0.25"/>
  <cols>
    <col min="1" max="1" width="21.875" style="16" customWidth="1"/>
    <col min="2" max="2" width="15.5" style="1" bestFit="1" customWidth="1"/>
    <col min="3" max="3" width="16" style="1" bestFit="1" customWidth="1"/>
    <col min="4" max="4" width="12.5" style="1" customWidth="1"/>
    <col min="5" max="5" width="16" style="1" bestFit="1" customWidth="1"/>
    <col min="6" max="6" width="16" style="1" customWidth="1"/>
    <col min="7" max="8" width="36.875" style="19" customWidth="1"/>
  </cols>
  <sheetData>
    <row r="1" spans="1:9" s="2" customFormat="1" x14ac:dyDescent="0.25">
      <c r="A1" s="15" t="s">
        <v>59</v>
      </c>
      <c r="B1" s="3" t="s">
        <v>5</v>
      </c>
      <c r="C1" s="3" t="s">
        <v>6</v>
      </c>
      <c r="D1" s="3" t="s">
        <v>18</v>
      </c>
      <c r="E1" s="3" t="s">
        <v>7</v>
      </c>
      <c r="F1" s="3"/>
      <c r="G1" s="18" t="s">
        <v>60</v>
      </c>
      <c r="H1" s="18" t="s">
        <v>70</v>
      </c>
    </row>
    <row r="2" spans="1:9" x14ac:dyDescent="0.25">
      <c r="A2" s="16" t="s">
        <v>52</v>
      </c>
      <c r="B2" s="1">
        <v>2200</v>
      </c>
      <c r="E2" s="1">
        <f>B2*12</f>
        <v>26400</v>
      </c>
      <c r="F2" s="1" t="s">
        <v>50</v>
      </c>
      <c r="G2" s="16" t="s">
        <v>76</v>
      </c>
      <c r="H2" s="16"/>
      <c r="I2" t="s">
        <v>43</v>
      </c>
    </row>
    <row r="3" spans="1:9" x14ac:dyDescent="0.25">
      <c r="A3" s="16" t="s">
        <v>64</v>
      </c>
      <c r="B3" s="1">
        <v>60</v>
      </c>
      <c r="E3" s="1">
        <f>B3*12</f>
        <v>720</v>
      </c>
      <c r="F3" s="1" t="s">
        <v>51</v>
      </c>
      <c r="G3" s="19" t="s">
        <v>63</v>
      </c>
    </row>
    <row r="4" spans="1:9" x14ac:dyDescent="0.25">
      <c r="A4" s="16" t="s">
        <v>30</v>
      </c>
      <c r="B4" s="1">
        <v>113</v>
      </c>
      <c r="E4" s="1">
        <f>B4*12</f>
        <v>1356</v>
      </c>
      <c r="F4" s="1" t="s">
        <v>50</v>
      </c>
      <c r="G4" s="16" t="s">
        <v>77</v>
      </c>
      <c r="H4" s="16"/>
    </row>
    <row r="5" spans="1:9" x14ac:dyDescent="0.25">
      <c r="A5" s="16" t="s">
        <v>1</v>
      </c>
      <c r="B5" s="1">
        <v>165</v>
      </c>
      <c r="E5" s="1">
        <f t="shared" ref="E5:E8" si="0">B5*12</f>
        <v>1980</v>
      </c>
      <c r="F5" s="1" t="s">
        <v>50</v>
      </c>
      <c r="G5" s="19" t="s">
        <v>65</v>
      </c>
    </row>
    <row r="6" spans="1:9" x14ac:dyDescent="0.25">
      <c r="A6" s="16" t="s">
        <v>2</v>
      </c>
      <c r="B6" s="1">
        <f>C6*30</f>
        <v>1500</v>
      </c>
      <c r="C6" s="1">
        <v>50</v>
      </c>
      <c r="E6" s="1">
        <f t="shared" si="0"/>
        <v>18000</v>
      </c>
      <c r="F6" s="1" t="s">
        <v>51</v>
      </c>
      <c r="G6" s="19" t="s">
        <v>78</v>
      </c>
      <c r="H6" t="s">
        <v>73</v>
      </c>
    </row>
    <row r="7" spans="1:9" x14ac:dyDescent="0.25">
      <c r="A7" s="16" t="s">
        <v>3</v>
      </c>
      <c r="B7" s="1">
        <v>50</v>
      </c>
      <c r="E7" s="1">
        <f t="shared" si="0"/>
        <v>600</v>
      </c>
      <c r="F7" s="1" t="s">
        <v>51</v>
      </c>
      <c r="H7" s="19" t="s">
        <v>74</v>
      </c>
    </row>
    <row r="8" spans="1:9" x14ac:dyDescent="0.25">
      <c r="A8" s="16" t="s">
        <v>37</v>
      </c>
      <c r="B8" s="1">
        <v>650</v>
      </c>
      <c r="E8" s="1">
        <f t="shared" si="0"/>
        <v>7800</v>
      </c>
      <c r="F8" s="1" t="s">
        <v>50</v>
      </c>
      <c r="G8" s="19" t="s">
        <v>80</v>
      </c>
      <c r="I8" t="s">
        <v>42</v>
      </c>
    </row>
    <row r="9" spans="1:9" x14ac:dyDescent="0.25">
      <c r="A9" s="16" t="s">
        <v>36</v>
      </c>
      <c r="B9" s="1">
        <f>E9/12</f>
        <v>60.833333333333336</v>
      </c>
      <c r="D9" s="1">
        <f>E9/4</f>
        <v>182.5</v>
      </c>
      <c r="E9" s="1">
        <v>730</v>
      </c>
      <c r="F9" s="1" t="s">
        <v>50</v>
      </c>
      <c r="G9" s="19" t="s">
        <v>66</v>
      </c>
    </row>
    <row r="10" spans="1:9" x14ac:dyDescent="0.25">
      <c r="A10" s="16" t="s">
        <v>53</v>
      </c>
      <c r="B10" s="1">
        <f>E10/12</f>
        <v>35</v>
      </c>
      <c r="D10" s="1">
        <v>105</v>
      </c>
      <c r="E10" s="1">
        <f>4*D10</f>
        <v>420</v>
      </c>
      <c r="F10" s="1" t="s">
        <v>51</v>
      </c>
      <c r="G10" s="16" t="s">
        <v>61</v>
      </c>
      <c r="H10" s="16"/>
    </row>
    <row r="11" spans="1:9" x14ac:dyDescent="0.25">
      <c r="A11" s="16" t="s">
        <v>58</v>
      </c>
      <c r="B11" s="1">
        <f>E11/12</f>
        <v>500</v>
      </c>
      <c r="E11" s="1">
        <v>6000</v>
      </c>
      <c r="F11" s="1" t="s">
        <v>51</v>
      </c>
      <c r="G11" s="19" t="s">
        <v>62</v>
      </c>
      <c r="H11" t="s">
        <v>71</v>
      </c>
    </row>
    <row r="12" spans="1:9" x14ac:dyDescent="0.25">
      <c r="A12" s="16" t="s">
        <v>54</v>
      </c>
      <c r="B12" s="1">
        <f>E12/12</f>
        <v>833.33333333333337</v>
      </c>
      <c r="E12" s="1">
        <v>10000</v>
      </c>
      <c r="F12" s="1" t="s">
        <v>51</v>
      </c>
      <c r="G12" s="19" t="s">
        <v>82</v>
      </c>
    </row>
    <row r="13" spans="1:9" x14ac:dyDescent="0.25">
      <c r="A13" s="16" t="s">
        <v>10</v>
      </c>
      <c r="B13" s="1">
        <v>50</v>
      </c>
      <c r="E13" s="1">
        <f>B13*12</f>
        <v>600</v>
      </c>
      <c r="F13" s="1" t="s">
        <v>50</v>
      </c>
      <c r="G13" s="19" t="s">
        <v>67</v>
      </c>
      <c r="H13" s="19" t="s">
        <v>72</v>
      </c>
    </row>
    <row r="14" spans="1:9" x14ac:dyDescent="0.25">
      <c r="A14" s="16" t="s">
        <v>11</v>
      </c>
      <c r="B14" s="1">
        <v>70</v>
      </c>
      <c r="E14" s="1">
        <f>B14*12</f>
        <v>840</v>
      </c>
      <c r="F14" s="1" t="s">
        <v>50</v>
      </c>
      <c r="G14" s="19" t="s">
        <v>68</v>
      </c>
    </row>
    <row r="15" spans="1:9" x14ac:dyDescent="0.25">
      <c r="A15" s="15" t="s">
        <v>81</v>
      </c>
      <c r="B15" s="1">
        <f>E15/12</f>
        <v>2083.3333333333335</v>
      </c>
      <c r="E15" s="1">
        <v>25000</v>
      </c>
      <c r="F15" s="1" t="s">
        <v>51</v>
      </c>
    </row>
    <row r="16" spans="1:9" x14ac:dyDescent="0.25">
      <c r="A16" s="16" t="s">
        <v>12</v>
      </c>
      <c r="B16" s="1">
        <f>E16/12</f>
        <v>250</v>
      </c>
      <c r="E16" s="1">
        <v>3000</v>
      </c>
      <c r="F16" s="1" t="s">
        <v>51</v>
      </c>
    </row>
    <row r="17" spans="1:8" x14ac:dyDescent="0.25">
      <c r="A17" s="16" t="s">
        <v>56</v>
      </c>
      <c r="B17" s="1">
        <f>E17/12</f>
        <v>41.666666666666664</v>
      </c>
      <c r="E17" s="1">
        <v>500</v>
      </c>
      <c r="F17" s="1" t="s">
        <v>51</v>
      </c>
      <c r="G17" s="19" t="s">
        <v>69</v>
      </c>
      <c r="H17" s="19" t="s">
        <v>75</v>
      </c>
    </row>
    <row r="18" spans="1:8" x14ac:dyDescent="0.25">
      <c r="A18" s="16" t="s">
        <v>32</v>
      </c>
      <c r="B18" s="1">
        <f>E18/12</f>
        <v>38.333333333333336</v>
      </c>
      <c r="E18" s="1">
        <v>460</v>
      </c>
      <c r="F18" s="1" t="s">
        <v>50</v>
      </c>
    </row>
    <row r="19" spans="1:8" x14ac:dyDescent="0.25">
      <c r="A19" s="16" t="s">
        <v>29</v>
      </c>
      <c r="B19" s="1">
        <f>E19/12</f>
        <v>11.75</v>
      </c>
      <c r="E19" s="1">
        <v>141</v>
      </c>
      <c r="F19" s="1" t="s">
        <v>50</v>
      </c>
    </row>
    <row r="20" spans="1:8" s="5" customFormat="1" ht="31.5" x14ac:dyDescent="0.25">
      <c r="A20" s="17" t="s">
        <v>13</v>
      </c>
      <c r="B20" s="4">
        <v>75</v>
      </c>
      <c r="C20" s="4"/>
      <c r="D20" s="4"/>
      <c r="E20" s="4">
        <f>12*B20</f>
        <v>900</v>
      </c>
      <c r="F20" s="1" t="s">
        <v>51</v>
      </c>
      <c r="G20" s="20" t="s">
        <v>79</v>
      </c>
      <c r="H20" t="s">
        <v>72</v>
      </c>
    </row>
    <row r="21" spans="1:8" s="5" customFormat="1" x14ac:dyDescent="0.25">
      <c r="A21" s="17" t="s">
        <v>57</v>
      </c>
      <c r="B21" s="4">
        <v>25</v>
      </c>
      <c r="C21" s="4"/>
      <c r="D21" s="4"/>
      <c r="E21" s="4">
        <f>12*B21</f>
        <v>300</v>
      </c>
      <c r="F21" s="1" t="s">
        <v>50</v>
      </c>
      <c r="G21" s="19"/>
      <c r="H21" s="19"/>
    </row>
    <row r="22" spans="1:8" x14ac:dyDescent="0.25">
      <c r="A22" s="16" t="s">
        <v>55</v>
      </c>
      <c r="B22" s="1">
        <f>E22/12</f>
        <v>13.75</v>
      </c>
      <c r="E22" s="1">
        <v>165</v>
      </c>
      <c r="F22" s="1" t="s">
        <v>50</v>
      </c>
      <c r="H22" t="s">
        <v>83</v>
      </c>
    </row>
    <row r="24" spans="1:8" x14ac:dyDescent="0.25">
      <c r="A24" s="16" t="s">
        <v>9</v>
      </c>
      <c r="B24" s="1">
        <f>SUM(B2:B23)</f>
        <v>8826</v>
      </c>
      <c r="E24" s="1">
        <f>SUM(E2:E22)</f>
        <v>105912</v>
      </c>
    </row>
    <row r="26" spans="1:8" x14ac:dyDescent="0.25">
      <c r="C26" s="6">
        <v>7.7000000000000002E-3</v>
      </c>
      <c r="D26" s="6"/>
      <c r="E26" s="6">
        <v>1.0699999999999999E-2</v>
      </c>
      <c r="F26" s="6"/>
    </row>
    <row r="27" spans="1:8" x14ac:dyDescent="0.25">
      <c r="A27" s="16" t="s">
        <v>14</v>
      </c>
      <c r="B27" s="7">
        <v>1634489</v>
      </c>
      <c r="C27" s="1">
        <f>B27*0.0077</f>
        <v>12585.5653</v>
      </c>
      <c r="E27" s="1">
        <f>B27*0.0103</f>
        <v>16835.236700000001</v>
      </c>
    </row>
    <row r="31" spans="1:8" x14ac:dyDescent="0.25">
      <c r="B31" s="7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BEA9-8126-E443-BE55-E33E39FFEFD2}">
  <dimension ref="A1:E11"/>
  <sheetViews>
    <sheetView workbookViewId="0">
      <selection activeCell="A12" sqref="A12"/>
    </sheetView>
  </sheetViews>
  <sheetFormatPr defaultColWidth="11" defaultRowHeight="15.75" x14ac:dyDescent="0.25"/>
  <cols>
    <col min="1" max="1" width="71.5" customWidth="1"/>
    <col min="2" max="2" width="12.5" style="1" bestFit="1" customWidth="1"/>
  </cols>
  <sheetData>
    <row r="1" spans="1:5" x14ac:dyDescent="0.25">
      <c r="A1" t="s">
        <v>15</v>
      </c>
      <c r="B1" s="1">
        <v>5</v>
      </c>
    </row>
    <row r="2" spans="1:5" x14ac:dyDescent="0.25">
      <c r="A2" t="s">
        <v>16</v>
      </c>
    </row>
    <row r="3" spans="1:5" x14ac:dyDescent="0.25">
      <c r="A3" t="s">
        <v>16</v>
      </c>
    </row>
    <row r="4" spans="1:5" x14ac:dyDescent="0.25">
      <c r="A4" t="s">
        <v>20</v>
      </c>
      <c r="B4" s="1">
        <v>4843.6899999999996</v>
      </c>
      <c r="C4" s="10" t="s">
        <v>25</v>
      </c>
    </row>
    <row r="5" spans="1:5" x14ac:dyDescent="0.25">
      <c r="A5" t="s">
        <v>22</v>
      </c>
      <c r="B5" s="1">
        <v>100</v>
      </c>
    </row>
    <row r="6" spans="1:5" x14ac:dyDescent="0.25">
      <c r="A6" t="s">
        <v>23</v>
      </c>
    </row>
    <row r="7" spans="1:5" x14ac:dyDescent="0.25">
      <c r="A7" t="s">
        <v>24</v>
      </c>
      <c r="B7" s="1">
        <f>SUM(B9:B10)</f>
        <v>282965</v>
      </c>
    </row>
    <row r="8" spans="1:5" x14ac:dyDescent="0.25">
      <c r="A8" t="s">
        <v>26</v>
      </c>
      <c r="B8" s="1" t="s">
        <v>40</v>
      </c>
    </row>
    <row r="9" spans="1:5" x14ac:dyDescent="0.25">
      <c r="A9" t="s">
        <v>27</v>
      </c>
      <c r="B9" s="1">
        <v>56821</v>
      </c>
      <c r="C9" t="s">
        <v>38</v>
      </c>
      <c r="E9" t="s">
        <v>28</v>
      </c>
    </row>
    <row r="10" spans="1:5" x14ac:dyDescent="0.25">
      <c r="A10" t="s">
        <v>27</v>
      </c>
      <c r="B10" s="1">
        <v>226144</v>
      </c>
      <c r="C10" t="s">
        <v>39</v>
      </c>
      <c r="E10" t="s">
        <v>28</v>
      </c>
    </row>
    <row r="11" spans="1:5" x14ac:dyDescent="0.25">
      <c r="A1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6AC4-0B2D-C144-B2A2-3269B389D8FE}">
  <dimension ref="A1:B1"/>
  <sheetViews>
    <sheetView workbookViewId="0">
      <selection activeCell="O18" sqref="O18"/>
    </sheetView>
  </sheetViews>
  <sheetFormatPr defaultColWidth="11" defaultRowHeight="15.75" x14ac:dyDescent="0.25"/>
  <cols>
    <col min="2" max="2" width="21.625" customWidth="1"/>
  </cols>
  <sheetData>
    <row r="1" spans="1:2" ht="20.25" x14ac:dyDescent="0.3">
      <c r="A1" s="8" t="s">
        <v>19</v>
      </c>
      <c r="B1" s="9">
        <v>13640.71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46688-2903-D34A-AE31-53ABC1BD075F}">
  <dimension ref="B2:G27"/>
  <sheetViews>
    <sheetView workbookViewId="0"/>
  </sheetViews>
  <sheetFormatPr defaultColWidth="11" defaultRowHeight="15.75" x14ac:dyDescent="0.25"/>
  <sheetData>
    <row r="2" spans="2:7" x14ac:dyDescent="0.25">
      <c r="B2" s="11" t="s">
        <v>44</v>
      </c>
    </row>
    <row r="3" spans="2:7" x14ac:dyDescent="0.25">
      <c r="B3" s="12" t="s">
        <v>45</v>
      </c>
    </row>
    <row r="4" spans="2:7" x14ac:dyDescent="0.25">
      <c r="B4" s="12"/>
    </row>
    <row r="6" spans="2:7" x14ac:dyDescent="0.25">
      <c r="C6" t="s">
        <v>46</v>
      </c>
      <c r="D6" t="s">
        <v>5</v>
      </c>
      <c r="E6" t="s">
        <v>6</v>
      </c>
      <c r="F6" t="s">
        <v>18</v>
      </c>
      <c r="G6" t="s">
        <v>7</v>
      </c>
    </row>
    <row r="7" spans="2:7" x14ac:dyDescent="0.25">
      <c r="C7" t="s">
        <v>0</v>
      </c>
      <c r="D7" s="13">
        <v>2200</v>
      </c>
      <c r="E7" s="13"/>
      <c r="F7" s="13"/>
      <c r="G7" s="13">
        <v>26400</v>
      </c>
    </row>
    <row r="8" spans="2:7" x14ac:dyDescent="0.25">
      <c r="C8" t="s">
        <v>35</v>
      </c>
      <c r="D8" s="13">
        <v>60</v>
      </c>
      <c r="E8" s="13"/>
      <c r="F8" s="13"/>
      <c r="G8" s="13">
        <v>720</v>
      </c>
    </row>
    <row r="9" spans="2:7" x14ac:dyDescent="0.25">
      <c r="C9" t="s">
        <v>30</v>
      </c>
      <c r="D9" s="13">
        <v>113</v>
      </c>
      <c r="E9" s="13"/>
      <c r="F9" s="13"/>
      <c r="G9" s="13">
        <v>1356</v>
      </c>
    </row>
    <row r="10" spans="2:7" x14ac:dyDescent="0.25">
      <c r="C10" t="s">
        <v>1</v>
      </c>
      <c r="D10" s="13">
        <v>165</v>
      </c>
      <c r="E10" s="13"/>
      <c r="F10" s="13"/>
      <c r="G10" s="13">
        <v>1980</v>
      </c>
    </row>
    <row r="11" spans="2:7" x14ac:dyDescent="0.25">
      <c r="C11" t="s">
        <v>2</v>
      </c>
      <c r="D11" s="13">
        <v>1500</v>
      </c>
      <c r="E11" s="13">
        <v>50</v>
      </c>
      <c r="F11" s="13"/>
      <c r="G11" s="13">
        <v>18000</v>
      </c>
    </row>
    <row r="12" spans="2:7" x14ac:dyDescent="0.25">
      <c r="C12" t="s">
        <v>3</v>
      </c>
      <c r="D12" s="13">
        <v>50</v>
      </c>
      <c r="E12" s="13"/>
      <c r="F12" s="13"/>
      <c r="G12" s="13">
        <v>600</v>
      </c>
    </row>
    <row r="13" spans="2:7" x14ac:dyDescent="0.25">
      <c r="C13" t="s">
        <v>37</v>
      </c>
      <c r="D13" s="13">
        <v>650</v>
      </c>
      <c r="E13" s="13"/>
      <c r="F13" s="13"/>
      <c r="G13" s="13">
        <v>7800</v>
      </c>
    </row>
    <row r="14" spans="2:7" x14ac:dyDescent="0.25">
      <c r="C14" t="s">
        <v>36</v>
      </c>
      <c r="D14" s="13">
        <v>730</v>
      </c>
      <c r="E14" s="13"/>
      <c r="F14" s="13">
        <v>182.5</v>
      </c>
      <c r="G14" s="13">
        <v>730</v>
      </c>
    </row>
    <row r="15" spans="2:7" x14ac:dyDescent="0.25">
      <c r="C15" t="s">
        <v>17</v>
      </c>
      <c r="D15" s="13">
        <v>35</v>
      </c>
      <c r="E15" s="13"/>
      <c r="F15" s="13">
        <v>105</v>
      </c>
      <c r="G15" s="13">
        <v>420</v>
      </c>
    </row>
    <row r="16" spans="2:7" x14ac:dyDescent="0.25">
      <c r="C16" t="s">
        <v>4</v>
      </c>
      <c r="D16" s="13">
        <v>500</v>
      </c>
      <c r="E16" s="13"/>
      <c r="F16" s="13"/>
      <c r="G16" s="13">
        <v>6000</v>
      </c>
    </row>
    <row r="17" spans="3:7" x14ac:dyDescent="0.25">
      <c r="C17" t="s">
        <v>8</v>
      </c>
      <c r="D17" s="13">
        <v>833.33333333333303</v>
      </c>
      <c r="E17" s="13"/>
      <c r="F17" s="13"/>
      <c r="G17" s="13">
        <v>10000</v>
      </c>
    </row>
    <row r="18" spans="3:7" x14ac:dyDescent="0.25">
      <c r="C18" t="s">
        <v>10</v>
      </c>
      <c r="D18" s="13">
        <v>66</v>
      </c>
      <c r="E18" s="13"/>
      <c r="F18" s="13"/>
      <c r="G18" s="13">
        <v>792</v>
      </c>
    </row>
    <row r="19" spans="3:7" x14ac:dyDescent="0.25">
      <c r="C19" t="s">
        <v>11</v>
      </c>
      <c r="D19" s="13">
        <v>70</v>
      </c>
      <c r="E19" s="13"/>
      <c r="F19" s="13"/>
      <c r="G19" s="13">
        <v>840</v>
      </c>
    </row>
    <row r="20" spans="3:7" x14ac:dyDescent="0.25">
      <c r="C20" t="s">
        <v>34</v>
      </c>
      <c r="D20" s="13">
        <v>2083.3333333333298</v>
      </c>
      <c r="E20" s="13"/>
      <c r="F20" s="13"/>
      <c r="G20" s="13">
        <v>25000</v>
      </c>
    </row>
    <row r="21" spans="3:7" x14ac:dyDescent="0.25">
      <c r="C21" t="s">
        <v>12</v>
      </c>
      <c r="D21" s="13">
        <v>250</v>
      </c>
      <c r="E21" s="13"/>
      <c r="F21" s="13"/>
      <c r="G21" s="13">
        <v>3000</v>
      </c>
    </row>
    <row r="22" spans="3:7" x14ac:dyDescent="0.25">
      <c r="C22" t="s">
        <v>31</v>
      </c>
      <c r="D22" s="13">
        <v>41.6666666666667</v>
      </c>
      <c r="E22" s="13"/>
      <c r="F22" s="13"/>
      <c r="G22" s="13">
        <v>500</v>
      </c>
    </row>
    <row r="23" spans="3:7" x14ac:dyDescent="0.25">
      <c r="C23" t="s">
        <v>32</v>
      </c>
      <c r="D23" s="13">
        <v>38.3333333333333</v>
      </c>
      <c r="E23" s="13"/>
      <c r="F23" s="13"/>
      <c r="G23" s="13">
        <v>460</v>
      </c>
    </row>
    <row r="24" spans="3:7" x14ac:dyDescent="0.25">
      <c r="C24" t="s">
        <v>29</v>
      </c>
      <c r="D24" s="13">
        <v>11.75</v>
      </c>
      <c r="E24" s="13"/>
      <c r="F24" s="13"/>
      <c r="G24" s="13">
        <v>141</v>
      </c>
    </row>
    <row r="25" spans="3:7" x14ac:dyDescent="0.25">
      <c r="C25" s="13" t="s">
        <v>13</v>
      </c>
      <c r="D25" s="13">
        <v>50</v>
      </c>
      <c r="E25" s="13"/>
      <c r="F25" s="13"/>
      <c r="G25" s="13">
        <v>600</v>
      </c>
    </row>
    <row r="26" spans="3:7" x14ac:dyDescent="0.25">
      <c r="C26" s="13" t="s">
        <v>33</v>
      </c>
      <c r="D26" s="13">
        <v>25</v>
      </c>
      <c r="E26" s="13"/>
      <c r="F26" s="13"/>
      <c r="G26" s="13">
        <v>300</v>
      </c>
    </row>
    <row r="27" spans="3:7" x14ac:dyDescent="0.25">
      <c r="C27" t="s">
        <v>21</v>
      </c>
      <c r="D27" s="13">
        <v>13.75</v>
      </c>
      <c r="E27" s="13"/>
      <c r="F27" s="13"/>
      <c r="G27" s="13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67A4-C55D-FF44-878D-B86D9EEEBB53}">
  <dimension ref="A2:C24"/>
  <sheetViews>
    <sheetView workbookViewId="0"/>
  </sheetViews>
  <sheetFormatPr defaultColWidth="11" defaultRowHeight="15.75" x14ac:dyDescent="0.25"/>
  <cols>
    <col min="1" max="1" width="20.375" bestFit="1" customWidth="1"/>
    <col min="2" max="2" width="10.625" bestFit="1" customWidth="1"/>
    <col min="3" max="3" width="12.5" bestFit="1" customWidth="1"/>
  </cols>
  <sheetData>
    <row r="2" spans="1:3" x14ac:dyDescent="0.25">
      <c r="A2" s="14" t="s">
        <v>46</v>
      </c>
      <c r="B2" t="s">
        <v>47</v>
      </c>
      <c r="C2" t="s">
        <v>48</v>
      </c>
    </row>
    <row r="3" spans="1:3" x14ac:dyDescent="0.25">
      <c r="A3" t="s">
        <v>0</v>
      </c>
      <c r="B3" s="13">
        <v>2200</v>
      </c>
      <c r="C3" s="13">
        <v>26400</v>
      </c>
    </row>
    <row r="4" spans="1:3" x14ac:dyDescent="0.25">
      <c r="A4" t="s">
        <v>34</v>
      </c>
      <c r="B4" s="13">
        <v>2083.3333333333298</v>
      </c>
      <c r="C4" s="13">
        <v>25000</v>
      </c>
    </row>
    <row r="5" spans="1:3" x14ac:dyDescent="0.25">
      <c r="A5" t="s">
        <v>2</v>
      </c>
      <c r="B5" s="13">
        <v>1500</v>
      </c>
      <c r="C5" s="13">
        <v>18000</v>
      </c>
    </row>
    <row r="6" spans="1:3" x14ac:dyDescent="0.25">
      <c r="A6" t="s">
        <v>8</v>
      </c>
      <c r="B6" s="13">
        <v>833.33333333333303</v>
      </c>
      <c r="C6" s="13">
        <v>10000</v>
      </c>
    </row>
    <row r="7" spans="1:3" x14ac:dyDescent="0.25">
      <c r="A7" t="s">
        <v>36</v>
      </c>
      <c r="B7" s="13">
        <v>730</v>
      </c>
      <c r="C7" s="13">
        <v>730</v>
      </c>
    </row>
    <row r="8" spans="1:3" x14ac:dyDescent="0.25">
      <c r="A8" t="s">
        <v>37</v>
      </c>
      <c r="B8" s="13">
        <v>650</v>
      </c>
      <c r="C8" s="13">
        <v>7800</v>
      </c>
    </row>
    <row r="9" spans="1:3" x14ac:dyDescent="0.25">
      <c r="A9" t="s">
        <v>4</v>
      </c>
      <c r="B9" s="13">
        <v>500</v>
      </c>
      <c r="C9" s="13">
        <v>6000</v>
      </c>
    </row>
    <row r="10" spans="1:3" x14ac:dyDescent="0.25">
      <c r="A10" t="s">
        <v>12</v>
      </c>
      <c r="B10" s="13">
        <v>250</v>
      </c>
      <c r="C10" s="13">
        <v>3000</v>
      </c>
    </row>
    <row r="11" spans="1:3" x14ac:dyDescent="0.25">
      <c r="A11" t="s">
        <v>1</v>
      </c>
      <c r="B11" s="13">
        <v>165</v>
      </c>
      <c r="C11" s="13">
        <v>1980</v>
      </c>
    </row>
    <row r="12" spans="1:3" x14ac:dyDescent="0.25">
      <c r="A12" t="s">
        <v>30</v>
      </c>
      <c r="B12" s="13">
        <v>113</v>
      </c>
      <c r="C12" s="13">
        <v>1356</v>
      </c>
    </row>
    <row r="13" spans="1:3" x14ac:dyDescent="0.25">
      <c r="A13" t="s">
        <v>11</v>
      </c>
      <c r="B13" s="13">
        <v>70</v>
      </c>
      <c r="C13" s="13">
        <v>840</v>
      </c>
    </row>
    <row r="14" spans="1:3" x14ac:dyDescent="0.25">
      <c r="A14" t="s">
        <v>10</v>
      </c>
      <c r="B14" s="13">
        <v>66</v>
      </c>
      <c r="C14" s="13">
        <v>792</v>
      </c>
    </row>
    <row r="15" spans="1:3" x14ac:dyDescent="0.25">
      <c r="A15" t="s">
        <v>35</v>
      </c>
      <c r="B15" s="13">
        <v>60</v>
      </c>
      <c r="C15" s="13">
        <v>720</v>
      </c>
    </row>
    <row r="16" spans="1:3" x14ac:dyDescent="0.25">
      <c r="A16" t="s">
        <v>13</v>
      </c>
      <c r="B16" s="13">
        <v>50</v>
      </c>
      <c r="C16" s="13">
        <v>600</v>
      </c>
    </row>
    <row r="17" spans="1:3" x14ac:dyDescent="0.25">
      <c r="A17" t="s">
        <v>3</v>
      </c>
      <c r="B17" s="13">
        <v>50</v>
      </c>
      <c r="C17" s="13">
        <v>600</v>
      </c>
    </row>
    <row r="18" spans="1:3" x14ac:dyDescent="0.25">
      <c r="A18" t="s">
        <v>31</v>
      </c>
      <c r="B18" s="13">
        <v>41.6666666666667</v>
      </c>
      <c r="C18" s="13">
        <v>500</v>
      </c>
    </row>
    <row r="19" spans="1:3" x14ac:dyDescent="0.25">
      <c r="A19" t="s">
        <v>32</v>
      </c>
      <c r="B19" s="13">
        <v>38.3333333333333</v>
      </c>
      <c r="C19" s="13">
        <v>460</v>
      </c>
    </row>
    <row r="20" spans="1:3" x14ac:dyDescent="0.25">
      <c r="A20" t="s">
        <v>17</v>
      </c>
      <c r="B20" s="13">
        <v>35</v>
      </c>
      <c r="C20" s="13">
        <v>420</v>
      </c>
    </row>
    <row r="21" spans="1:3" x14ac:dyDescent="0.25">
      <c r="A21" t="s">
        <v>33</v>
      </c>
      <c r="B21" s="13">
        <v>25</v>
      </c>
      <c r="C21" s="13">
        <v>300</v>
      </c>
    </row>
    <row r="22" spans="1:3" x14ac:dyDescent="0.25">
      <c r="A22" t="s">
        <v>21</v>
      </c>
      <c r="B22" s="13">
        <v>13.75</v>
      </c>
      <c r="C22" s="13">
        <v>165</v>
      </c>
    </row>
    <row r="23" spans="1:3" x14ac:dyDescent="0.25">
      <c r="A23" t="s">
        <v>29</v>
      </c>
      <c r="B23" s="13">
        <v>11.75</v>
      </c>
      <c r="C23" s="13">
        <v>141</v>
      </c>
    </row>
    <row r="24" spans="1:3" x14ac:dyDescent="0.25">
      <c r="A24" t="s">
        <v>49</v>
      </c>
      <c r="B24" s="13">
        <v>9486.1666666666624</v>
      </c>
      <c r="C24" s="13">
        <v>105804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25DD-5E64-7744-914A-887D619F28A5}">
  <dimension ref="B2:G27"/>
  <sheetViews>
    <sheetView workbookViewId="0"/>
  </sheetViews>
  <sheetFormatPr defaultColWidth="11" defaultRowHeight="15.75" x14ac:dyDescent="0.25"/>
  <sheetData>
    <row r="2" spans="2:7" x14ac:dyDescent="0.25">
      <c r="B2" s="11" t="s">
        <v>44</v>
      </c>
    </row>
    <row r="3" spans="2:7" x14ac:dyDescent="0.25">
      <c r="B3" s="12" t="s">
        <v>45</v>
      </c>
    </row>
    <row r="4" spans="2:7" x14ac:dyDescent="0.25">
      <c r="B4" s="12"/>
    </row>
    <row r="6" spans="2:7" x14ac:dyDescent="0.25">
      <c r="C6" t="s">
        <v>46</v>
      </c>
      <c r="D6" t="s">
        <v>5</v>
      </c>
      <c r="E6" t="s">
        <v>6</v>
      </c>
      <c r="F6" t="s">
        <v>18</v>
      </c>
      <c r="G6" t="s">
        <v>7</v>
      </c>
    </row>
    <row r="7" spans="2:7" x14ac:dyDescent="0.25">
      <c r="C7" t="s">
        <v>0</v>
      </c>
      <c r="D7" s="13">
        <v>2200</v>
      </c>
      <c r="E7" s="13"/>
      <c r="F7" s="13"/>
      <c r="G7" s="13">
        <v>26400</v>
      </c>
    </row>
    <row r="8" spans="2:7" x14ac:dyDescent="0.25">
      <c r="C8" t="s">
        <v>35</v>
      </c>
      <c r="D8" s="13">
        <v>60</v>
      </c>
      <c r="E8" s="13"/>
      <c r="F8" s="13"/>
      <c r="G8" s="13">
        <v>720</v>
      </c>
    </row>
    <row r="9" spans="2:7" x14ac:dyDescent="0.25">
      <c r="C9" t="s">
        <v>30</v>
      </c>
      <c r="D9" s="13">
        <v>113</v>
      </c>
      <c r="E9" s="13"/>
      <c r="F9" s="13"/>
      <c r="G9" s="13">
        <v>1356</v>
      </c>
    </row>
    <row r="10" spans="2:7" x14ac:dyDescent="0.25">
      <c r="C10" t="s">
        <v>1</v>
      </c>
      <c r="D10" s="13">
        <v>165</v>
      </c>
      <c r="E10" s="13"/>
      <c r="F10" s="13"/>
      <c r="G10" s="13">
        <v>1980</v>
      </c>
    </row>
    <row r="11" spans="2:7" x14ac:dyDescent="0.25">
      <c r="C11" t="s">
        <v>2</v>
      </c>
      <c r="D11" s="13">
        <v>1500</v>
      </c>
      <c r="E11" s="13">
        <v>50</v>
      </c>
      <c r="F11" s="13"/>
      <c r="G11" s="13">
        <v>18000</v>
      </c>
    </row>
    <row r="12" spans="2:7" x14ac:dyDescent="0.25">
      <c r="C12" t="s">
        <v>3</v>
      </c>
      <c r="D12" s="13">
        <v>50</v>
      </c>
      <c r="E12" s="13"/>
      <c r="F12" s="13"/>
      <c r="G12" s="13">
        <v>600</v>
      </c>
    </row>
    <row r="13" spans="2:7" x14ac:dyDescent="0.25">
      <c r="C13" t="s">
        <v>37</v>
      </c>
      <c r="D13" s="13">
        <v>650</v>
      </c>
      <c r="E13" s="13"/>
      <c r="F13" s="13"/>
      <c r="G13" s="13">
        <v>7800</v>
      </c>
    </row>
    <row r="14" spans="2:7" x14ac:dyDescent="0.25">
      <c r="C14" t="s">
        <v>36</v>
      </c>
      <c r="D14" s="13">
        <v>730</v>
      </c>
      <c r="E14" s="13"/>
      <c r="F14" s="13">
        <v>182.5</v>
      </c>
      <c r="G14" s="13">
        <v>730</v>
      </c>
    </row>
    <row r="15" spans="2:7" x14ac:dyDescent="0.25">
      <c r="C15" t="s">
        <v>17</v>
      </c>
      <c r="D15" s="13">
        <v>35</v>
      </c>
      <c r="E15" s="13"/>
      <c r="F15" s="13">
        <v>105</v>
      </c>
      <c r="G15" s="13">
        <v>420</v>
      </c>
    </row>
    <row r="16" spans="2:7" x14ac:dyDescent="0.25">
      <c r="C16" t="s">
        <v>4</v>
      </c>
      <c r="D16" s="13">
        <v>500</v>
      </c>
      <c r="E16" s="13"/>
      <c r="F16" s="13"/>
      <c r="G16" s="13">
        <v>6000</v>
      </c>
    </row>
    <row r="17" spans="3:7" x14ac:dyDescent="0.25">
      <c r="C17" t="s">
        <v>8</v>
      </c>
      <c r="D17" s="13">
        <v>833.33333333333303</v>
      </c>
      <c r="E17" s="13"/>
      <c r="F17" s="13"/>
      <c r="G17" s="13">
        <v>10000</v>
      </c>
    </row>
    <row r="18" spans="3:7" x14ac:dyDescent="0.25">
      <c r="C18" t="s">
        <v>10</v>
      </c>
      <c r="D18" s="13">
        <v>66</v>
      </c>
      <c r="E18" s="13"/>
      <c r="F18" s="13"/>
      <c r="G18" s="13">
        <v>792</v>
      </c>
    </row>
    <row r="19" spans="3:7" x14ac:dyDescent="0.25">
      <c r="C19" t="s">
        <v>11</v>
      </c>
      <c r="D19" s="13">
        <v>70</v>
      </c>
      <c r="E19" s="13"/>
      <c r="F19" s="13"/>
      <c r="G19" s="13">
        <v>840</v>
      </c>
    </row>
    <row r="20" spans="3:7" x14ac:dyDescent="0.25">
      <c r="C20" t="s">
        <v>34</v>
      </c>
      <c r="D20" s="13">
        <v>2083.3333333333298</v>
      </c>
      <c r="E20" s="13"/>
      <c r="F20" s="13"/>
      <c r="G20" s="13">
        <v>25000</v>
      </c>
    </row>
    <row r="21" spans="3:7" x14ac:dyDescent="0.25">
      <c r="C21" t="s">
        <v>12</v>
      </c>
      <c r="D21" s="13">
        <v>250</v>
      </c>
      <c r="E21" s="13"/>
      <c r="F21" s="13"/>
      <c r="G21" s="13">
        <v>3000</v>
      </c>
    </row>
    <row r="22" spans="3:7" x14ac:dyDescent="0.25">
      <c r="C22" t="s">
        <v>31</v>
      </c>
      <c r="D22" s="13">
        <v>41.6666666666667</v>
      </c>
      <c r="E22" s="13"/>
      <c r="F22" s="13"/>
      <c r="G22" s="13">
        <v>500</v>
      </c>
    </row>
    <row r="23" spans="3:7" x14ac:dyDescent="0.25">
      <c r="C23" t="s">
        <v>32</v>
      </c>
      <c r="D23" s="13">
        <v>38.3333333333333</v>
      </c>
      <c r="E23" s="13"/>
      <c r="F23" s="13"/>
      <c r="G23" s="13">
        <v>460</v>
      </c>
    </row>
    <row r="24" spans="3:7" x14ac:dyDescent="0.25">
      <c r="C24" t="s">
        <v>29</v>
      </c>
      <c r="D24" s="13">
        <v>11.75</v>
      </c>
      <c r="E24" s="13"/>
      <c r="F24" s="13"/>
      <c r="G24" s="13">
        <v>141</v>
      </c>
    </row>
    <row r="25" spans="3:7" x14ac:dyDescent="0.25">
      <c r="C25" s="13" t="s">
        <v>13</v>
      </c>
      <c r="D25" s="13">
        <v>75</v>
      </c>
      <c r="E25" s="13"/>
      <c r="F25" s="13"/>
      <c r="G25" s="13">
        <v>900</v>
      </c>
    </row>
    <row r="26" spans="3:7" x14ac:dyDescent="0.25">
      <c r="C26" s="13" t="s">
        <v>33</v>
      </c>
      <c r="D26" s="13">
        <v>25</v>
      </c>
      <c r="E26" s="13"/>
      <c r="F26" s="13"/>
      <c r="G26" s="13">
        <v>300</v>
      </c>
    </row>
    <row r="27" spans="3:7" x14ac:dyDescent="0.25">
      <c r="C27" t="s">
        <v>21</v>
      </c>
      <c r="D27" s="13">
        <v>13.75</v>
      </c>
      <c r="E27" s="13"/>
      <c r="F27" s="13"/>
      <c r="G27" s="13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91D7-9F09-AD4F-8D25-73B9575FB275}">
  <dimension ref="A2:B24"/>
  <sheetViews>
    <sheetView workbookViewId="0">
      <selection activeCell="F30" sqref="F30"/>
    </sheetView>
  </sheetViews>
  <sheetFormatPr defaultColWidth="11" defaultRowHeight="15.75" x14ac:dyDescent="0.25"/>
  <cols>
    <col min="1" max="1" width="20.375" bestFit="1" customWidth="1"/>
    <col min="2" max="2" width="12.5" bestFit="1" customWidth="1"/>
  </cols>
  <sheetData>
    <row r="2" spans="1:2" x14ac:dyDescent="0.25">
      <c r="A2" s="14" t="s">
        <v>46</v>
      </c>
      <c r="B2" t="s">
        <v>48</v>
      </c>
    </row>
    <row r="3" spans="1:2" x14ac:dyDescent="0.25">
      <c r="A3" t="s">
        <v>0</v>
      </c>
      <c r="B3" s="13">
        <v>26400</v>
      </c>
    </row>
    <row r="4" spans="1:2" x14ac:dyDescent="0.25">
      <c r="A4" t="s">
        <v>34</v>
      </c>
      <c r="B4" s="13">
        <v>25000</v>
      </c>
    </row>
    <row r="5" spans="1:2" x14ac:dyDescent="0.25">
      <c r="A5" t="s">
        <v>2</v>
      </c>
      <c r="B5" s="13">
        <v>18000</v>
      </c>
    </row>
    <row r="6" spans="1:2" x14ac:dyDescent="0.25">
      <c r="A6" t="s">
        <v>8</v>
      </c>
      <c r="B6" s="13">
        <v>10000</v>
      </c>
    </row>
    <row r="7" spans="1:2" x14ac:dyDescent="0.25">
      <c r="A7" t="s">
        <v>37</v>
      </c>
      <c r="B7" s="13">
        <v>7800</v>
      </c>
    </row>
    <row r="8" spans="1:2" x14ac:dyDescent="0.25">
      <c r="A8" t="s">
        <v>4</v>
      </c>
      <c r="B8" s="13">
        <v>6000</v>
      </c>
    </row>
    <row r="9" spans="1:2" x14ac:dyDescent="0.25">
      <c r="A9" t="s">
        <v>12</v>
      </c>
      <c r="B9" s="13">
        <v>3000</v>
      </c>
    </row>
    <row r="10" spans="1:2" x14ac:dyDescent="0.25">
      <c r="A10" t="s">
        <v>1</v>
      </c>
      <c r="B10" s="13">
        <v>1980</v>
      </c>
    </row>
    <row r="11" spans="1:2" x14ac:dyDescent="0.25">
      <c r="A11" t="s">
        <v>30</v>
      </c>
      <c r="B11" s="13">
        <v>1356</v>
      </c>
    </row>
    <row r="12" spans="1:2" x14ac:dyDescent="0.25">
      <c r="A12" t="s">
        <v>13</v>
      </c>
      <c r="B12" s="13">
        <v>900</v>
      </c>
    </row>
    <row r="13" spans="1:2" x14ac:dyDescent="0.25">
      <c r="A13" t="s">
        <v>11</v>
      </c>
      <c r="B13" s="13">
        <v>840</v>
      </c>
    </row>
    <row r="14" spans="1:2" x14ac:dyDescent="0.25">
      <c r="A14" t="s">
        <v>10</v>
      </c>
      <c r="B14" s="13">
        <v>792</v>
      </c>
    </row>
    <row r="15" spans="1:2" x14ac:dyDescent="0.25">
      <c r="A15" t="s">
        <v>36</v>
      </c>
      <c r="B15" s="13">
        <v>730</v>
      </c>
    </row>
    <row r="16" spans="1:2" x14ac:dyDescent="0.25">
      <c r="A16" t="s">
        <v>35</v>
      </c>
      <c r="B16" s="13">
        <v>720</v>
      </c>
    </row>
    <row r="17" spans="1:2" x14ac:dyDescent="0.25">
      <c r="A17" t="s">
        <v>3</v>
      </c>
      <c r="B17" s="13">
        <v>600</v>
      </c>
    </row>
    <row r="18" spans="1:2" x14ac:dyDescent="0.25">
      <c r="A18" t="s">
        <v>31</v>
      </c>
      <c r="B18" s="13">
        <v>500</v>
      </c>
    </row>
    <row r="19" spans="1:2" x14ac:dyDescent="0.25">
      <c r="A19" t="s">
        <v>32</v>
      </c>
      <c r="B19" s="13">
        <v>460</v>
      </c>
    </row>
    <row r="20" spans="1:2" x14ac:dyDescent="0.25">
      <c r="A20" t="s">
        <v>17</v>
      </c>
      <c r="B20" s="13">
        <v>420</v>
      </c>
    </row>
    <row r="21" spans="1:2" x14ac:dyDescent="0.25">
      <c r="A21" t="s">
        <v>33</v>
      </c>
      <c r="B21" s="13">
        <v>300</v>
      </c>
    </row>
    <row r="22" spans="1:2" x14ac:dyDescent="0.25">
      <c r="A22" t="s">
        <v>21</v>
      </c>
      <c r="B22" s="13">
        <v>165</v>
      </c>
    </row>
    <row r="23" spans="1:2" x14ac:dyDescent="0.25">
      <c r="A23" t="s">
        <v>29</v>
      </c>
      <c r="B23" s="13">
        <v>141</v>
      </c>
    </row>
    <row r="24" spans="1:2" x14ac:dyDescent="0.25">
      <c r="A24" t="s">
        <v>49</v>
      </c>
      <c r="B24" s="13">
        <v>106104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actuals</vt:lpstr>
      <vt:lpstr>funds</vt:lpstr>
      <vt:lpstr>fidelir</vt:lpstr>
      <vt:lpstr>Sheet2</vt:lpstr>
      <vt:lpstr>pivot table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Bill Lyon</cp:lastModifiedBy>
  <dcterms:created xsi:type="dcterms:W3CDTF">2023-07-14T19:25:10Z</dcterms:created>
  <dcterms:modified xsi:type="dcterms:W3CDTF">2026-08-27T15:59:28Z</dcterms:modified>
</cp:coreProperties>
</file>